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KPI Scorecard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" authorId="0">
      <text>
        <r>
          <rPr>
            <sz val="10"/>
            <rFont val="Arial"/>
            <family val="2"/>
          </rPr>
          <t xml:space="preserve">Auto-calculated. Do not overwrite — edit Baseline, Target, or Current Value instead.</t>
        </r>
      </text>
    </comment>
  </commentList>
</comments>
</file>

<file path=xl/sharedStrings.xml><?xml version="1.0" encoding="utf-8"?>
<sst xmlns="http://schemas.openxmlformats.org/spreadsheetml/2006/main" count="187" uniqueCount="94">
  <si>
    <t xml:space="preserve">AI Adoption KPI Capture Workbook</t>
  </si>
  <si>
    <t xml:space="preserve">Companion tracker for the AI Adoption KPI Framework deck</t>
  </si>
  <si>
    <t xml:space="preserve">How to use this workbook</t>
  </si>
  <si>
    <t xml:space="preserve">1. KPI Scorecard</t>
  </si>
  <si>
    <t xml:space="preserve">One row per KPI, pre-loaded from the framework deck (29 rows: 25 team KPIs + 4 governance KPIs). Fill in the yellow cells only: Baseline, Target, Current Value, Owner, and Last Updated. Status calculates automatically.</t>
  </si>
  <si>
    <t xml:space="preserve">2. Dashboard</t>
  </si>
  <si>
    <t xml:space="preserve">Live summary of Status and per-team counts, driven by formulas off the KPI Scorecard tab. Nothing to edit here — it updates as the Scorecard is filled in.</t>
  </si>
  <si>
    <t xml:space="preserve">Column reference (KPI Scorecard tab)</t>
  </si>
  <si>
    <t xml:space="preserve">Direction</t>
  </si>
  <si>
    <t xml:space="preserve">Whether a higher or lower value is the good outcome for that KPI. Pre-set — do not change unless the metric definition changes.</t>
  </si>
  <si>
    <t xml:space="preserve">Baseline</t>
  </si>
  <si>
    <t xml:space="preserve">The pre-AI value captured before rollout. Required before Status can read as anything but "Not Started".</t>
  </si>
  <si>
    <t xml:space="preserve">Target</t>
  </si>
  <si>
    <t xml:space="preserve">The value the team is aiming for at the next checkpoint.</t>
  </si>
  <si>
    <t xml:space="preserve">Current Value</t>
  </si>
  <si>
    <t xml:space="preserve">The latest measured value. Update this each reporting cycle (see Frequency column).</t>
  </si>
  <si>
    <t xml:space="preserve">Status</t>
  </si>
  <si>
    <t xml:space="preserve">Auto-calculated: On Track (met/exceeded target), In Progress (better than baseline, short of target), Off Track (at or worse than baseline), Not Started (no Current Value yet).</t>
  </si>
  <si>
    <t xml:space="preserve">Owner</t>
  </si>
  <si>
    <t xml:space="preserve">Named individual accountable for reporting this KPI — not a team name.</t>
  </si>
  <si>
    <t xml:space="preserve">Frequency</t>
  </si>
  <si>
    <t xml:space="preserve">How often Current Value is refreshed: Weekly, Biweekly, Monthly, or Quarterly.</t>
  </si>
  <si>
    <t xml:space="preserve">Reporting cadence (from the framework deck)</t>
  </si>
  <si>
    <t xml:space="preserve">Quick Wins</t>
  </si>
  <si>
    <t xml:space="preserve">First checkpoint at week 4, full review at week 8. Focus on adoption ramp.</t>
  </si>
  <si>
    <t xml:space="preserve">Strategic Priorities</t>
  </si>
  <si>
    <t xml:space="preserve">Baseline in month 1, first real read at end of quarter. Focus on outcome quality.</t>
  </si>
  <si>
    <t xml:space="preserve">Example row</t>
  </si>
  <si>
    <t xml:space="preserve">Row 5 on the KPI Scorecard tab is filled in as a worked example — delete or overwrite it once your team's real data is in.</t>
  </si>
  <si>
    <t xml:space="preserve">Cell color legend</t>
  </si>
  <si>
    <t xml:space="preserve">Yellow fill — cell for you to fill in</t>
  </si>
  <si>
    <t xml:space="preserve">Green Status — On Track</t>
  </si>
  <si>
    <t xml:space="preserve">Amber Status — In Progress</t>
  </si>
  <si>
    <t xml:space="preserve">Red Status — Off Track</t>
  </si>
  <si>
    <t xml:space="preserve">Grey Status — Not Started</t>
  </si>
  <si>
    <t xml:space="preserve">AI Adoption KPI Scorecard — Liquid Alternatives Operations</t>
  </si>
  <si>
    <t xml:space="preserve">Fill in yellow cells only. Status calculates automatically from Baseline, Target, and Current Value.</t>
  </si>
  <si>
    <t xml:space="preserve">Team</t>
  </si>
  <si>
    <t xml:space="preserve">KPI Type</t>
  </si>
  <si>
    <t xml:space="preserve">KPI Name</t>
  </si>
  <si>
    <t xml:space="preserve">Last Updated</t>
  </si>
  <si>
    <t xml:space="preserve">Notes</t>
  </si>
  <si>
    <t xml:space="preserve">Project Managers</t>
  </si>
  <si>
    <t xml:space="preserve">Adoption</t>
  </si>
  <si>
    <t xml:space="preserve">% of eligible work items using AI-assisted estimation / planning</t>
  </si>
  <si>
    <t xml:space="preserve">Higher is Better</t>
  </si>
  <si>
    <t xml:space="preserve">Aidan Murphy</t>
  </si>
  <si>
    <t xml:space="preserve">Biweekly</t>
  </si>
  <si>
    <t xml:space="preserve">2026-08-04</t>
  </si>
  <si>
    <t xml:space="preserve">Worked example — overwrite with real data</t>
  </si>
  <si>
    <t xml:space="preserve">Weekly active use of AI planning tooling across the PM pool</t>
  </si>
  <si>
    <t xml:space="preserve">Outcome</t>
  </si>
  <si>
    <t xml:space="preserve">Forecast accuracy delta vs. historical baseline (2-3 sprint rolling)</t>
  </si>
  <si>
    <t xml:space="preserve">Cycle time reduction on sprint reporting / status decks (%)</t>
  </si>
  <si>
    <t xml:space="preserve">Risk identification lead time — days flagged earlier vs. manual</t>
  </si>
  <si>
    <t xml:space="preserve">Business Analysts</t>
  </si>
  <si>
    <t xml:space="preserve">Stories / BRDs drafted with AI assistance vs. baseline (%)</t>
  </si>
  <si>
    <t xml:space="preserve">Time-to-first-draft for BRDs, use cases, acceptance criteria (days)</t>
  </si>
  <si>
    <t xml:space="preserve">Lower is Better</t>
  </si>
  <si>
    <t xml:space="preserve">Downstream defect / rework rate on AI-assisted stories (%)</t>
  </si>
  <si>
    <t xml:space="preserve">Stakeholder review cycles reduced per document (%)</t>
  </si>
  <si>
    <t xml:space="preserve">Traceability coverage — AI-assisted impact analysis across services (%)</t>
  </si>
  <si>
    <t xml:space="preserve">Application Managers</t>
  </si>
  <si>
    <t xml:space="preserve">% of production incidents using AI-assisted triage / RCA</t>
  </si>
  <si>
    <t xml:space="preserve">Change &amp; release documentation generated or reviewed via AI (%)</t>
  </si>
  <si>
    <t xml:space="preserve">MTTR reduction: AI-assisted vs. non-AI-assisted incidents (%)</t>
  </si>
  <si>
    <t xml:space="preserve">Technical debt / dependency risk visibility across the estate (%)</t>
  </si>
  <si>
    <t xml:space="preserve">Support ticket deflection via AI-assisted knowledge base (%)</t>
  </si>
  <si>
    <t xml:space="preserve">QA Managers</t>
  </si>
  <si>
    <t xml:space="preserve">% of test cases authored or augmented via AI</t>
  </si>
  <si>
    <t xml:space="preserve">Regression suite maintenance time reduction (%)</t>
  </si>
  <si>
    <t xml:space="preserve">Defect escape rate — AI-assisted vs. manual test suites (%)</t>
  </si>
  <si>
    <t xml:space="preserve">Shift-left ratio — issues caught earlier in the SDLC (%)</t>
  </si>
  <si>
    <t xml:space="preserve">False positive / negative rate on AI-assisted analysis (%)</t>
  </si>
  <si>
    <t xml:space="preserve">Dev Team Manager</t>
  </si>
  <si>
    <t xml:space="preserve">% of PRs / commits with AI-assisted generation or review</t>
  </si>
  <si>
    <t xml:space="preserve">Developer-reported time saved per sprint (hrs, sanity-checked quarterly)</t>
  </si>
  <si>
    <t xml:space="preserve">Post-merge defect rate — AI-assisted vs. baseline PRs (%)</t>
  </si>
  <si>
    <t xml:space="preserve">Code review cycle time / time-to-merge reduction (%)</t>
  </si>
  <si>
    <t xml:space="preserve">Onboarding ramp-up time using AI-assisted scaffolding (days)</t>
  </si>
  <si>
    <t xml:space="preserve">Governance</t>
  </si>
  <si>
    <t xml:space="preserve">Cross-Cutting</t>
  </si>
  <si>
    <t xml:space="preserve">Human-in-the-loop compliance rate (%)</t>
  </si>
  <si>
    <t xml:space="preserve">Audit trail completeness — AI vs. human-authored reconstructable (%)</t>
  </si>
  <si>
    <t xml:space="preserve">Cost per use case — actual vs. projected spend variance (%)</t>
  </si>
  <si>
    <t xml:space="preserve">Adoption curve by team — active users per tool (%)</t>
  </si>
  <si>
    <t xml:space="preserve">KPI Dashboard</t>
  </si>
  <si>
    <t xml:space="preserve">Live — recalculates from the KPI Scorecard tab</t>
  </si>
  <si>
    <t xml:space="preserve">Count of KPIs</t>
  </si>
  <si>
    <t xml:space="preserve">On Track</t>
  </si>
  <si>
    <t xml:space="preserve">Off Track</t>
  </si>
  <si>
    <t xml:space="preserve">In Progress</t>
  </si>
  <si>
    <t xml:space="preserve">Not Started</t>
  </si>
  <si>
    <t xml:space="preserve">Total KPIs tracked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</si>
</sst>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2761"/>
      <name val="Arial"/>
      <family val="0"/>
      <charset val="1"/>
    </font>
    <font>
      <i val="true"/>
      <sz val="11"/>
      <color rgb="FF6B7290"/>
      <name val="Arial"/>
      <family val="0"/>
      <charset val="1"/>
    </font>
    <font>
      <b val="true"/>
      <sz val="13"/>
      <color rgb="FF1E2761"/>
      <name val="Arial"/>
      <family val="0"/>
      <charset val="1"/>
    </font>
    <font>
      <b val="true"/>
      <sz val="10.5"/>
      <color rgb="FF1B1F3B"/>
      <name val="Arial"/>
      <family val="0"/>
      <charset val="1"/>
    </font>
    <font>
      <sz val="10.5"/>
      <color rgb="FF1B1F3B"/>
      <name val="Arial"/>
      <family val="0"/>
      <charset val="1"/>
    </font>
    <font>
      <b val="true"/>
      <sz val="16"/>
      <color rgb="FF1E2761"/>
      <name val="Arial"/>
      <family val="0"/>
      <charset val="1"/>
    </font>
    <font>
      <i val="true"/>
      <sz val="10"/>
      <color rgb="FF6B7290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"/>
      <color rgb="FF1B1F3B"/>
      <name val="Arial"/>
      <family val="0"/>
      <charset val="1"/>
    </font>
    <font>
      <sz val="10"/>
      <name val="Arial"/>
      <family val="2"/>
    </font>
    <font>
      <i val="true"/>
      <sz val="10.5"/>
      <color rgb="FF6B7290"/>
      <name val="Arial"/>
      <family val="0"/>
      <charset val="1"/>
    </font>
    <font>
      <sz val="10.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CE5CD"/>
      </patternFill>
    </fill>
    <fill>
      <patternFill patternType="solid">
        <fgColor rgb="FFD9EAD3"/>
        <bgColor rgb="FFD6F5EC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D9D9D9"/>
      </patternFill>
    </fill>
    <fill>
      <patternFill patternType="solid">
        <fgColor rgb="FFD9DCE5"/>
        <bgColor rgb="FFD9D9D9"/>
      </patternFill>
    </fill>
    <fill>
      <patternFill patternType="solid">
        <fgColor rgb="FF1E2761"/>
        <bgColor rgb="FF1B1F3B"/>
      </patternFill>
    </fill>
    <fill>
      <patternFill patternType="solid">
        <fgColor rgb="FFCADCFC"/>
        <bgColor rgb="FFD9DCE5"/>
      </patternFill>
    </fill>
    <fill>
      <patternFill patternType="solid">
        <fgColor rgb="FFE4DFF7"/>
        <bgColor rgb="FFD9DCE5"/>
      </patternFill>
    </fill>
    <fill>
      <patternFill patternType="solid">
        <fgColor rgb="FFD6F5EC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5"/>
      </left>
      <right style="thin">
        <color rgb="FFD9DCE5"/>
      </right>
      <top style="thin">
        <color rgb="FFD9DCE5"/>
      </top>
      <bottom style="thin">
        <color rgb="FFD9DC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1B5E20"/>
      </font>
      <fill>
        <patternFill>
          <bgColor rgb="FFD9EAD3"/>
        </patternFill>
      </fill>
    </dxf>
    <dxf>
      <font>
        <name val="Arial"/>
        <charset val="1"/>
        <family val="0"/>
        <b val="1"/>
        <color rgb="FF8A4B00"/>
      </font>
      <fill>
        <patternFill>
          <bgColor rgb="FFFCE5CD"/>
        </patternFill>
      </fill>
    </dxf>
    <dxf>
      <font>
        <name val="Arial"/>
        <charset val="1"/>
        <family val="0"/>
        <b val="1"/>
        <color rgb="FF990000"/>
      </font>
      <fill>
        <patternFill>
          <bgColor rgb="FFF4CCCC"/>
        </patternFill>
      </fill>
    </dxf>
    <dxf>
      <font>
        <name val="Arial"/>
        <charset val="1"/>
        <family val="0"/>
        <color rgb="FF4D4D4D"/>
      </font>
      <fill>
        <patternFill>
          <bgColor rgb="FFD9DC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1B5E2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2CC"/>
      <rgbColor rgb="FFD6F5EC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EAD3"/>
      <rgbColor rgb="FFFCE5CD"/>
      <rgbColor rgb="FFD9DCE5"/>
      <rgbColor rgb="FFFF99CC"/>
      <rgbColor rgb="FFE4DFF7"/>
      <rgbColor rgb="FFF4CCCC"/>
      <rgbColor rgb="FF4F81BD"/>
      <rgbColor rgb="FF33CCCC"/>
      <rgbColor rgb="FF99CC00"/>
      <rgbColor rgb="FFFFCC00"/>
      <rgbColor rgb="FFFF9900"/>
      <rgbColor rgb="FFFF6600"/>
      <rgbColor rgb="FF6B7290"/>
      <rgbColor rgb="FF969696"/>
      <rgbColor rgb="FF1E2761"/>
      <rgbColor rgb="FF339966"/>
      <rgbColor rgb="FF003300"/>
      <rgbColor rgb="FF333300"/>
      <rgbColor rgb="FF8A4B00"/>
      <rgbColor rgb="FF993366"/>
      <rgbColor rgb="FF4D4D4D"/>
      <rgbColor rgb="FF1B1F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KPI Status Overview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</c:f>
              <c:strCache>
                <c:ptCount val="1"/>
                <c:pt idx="0">
                  <c:v>Count of KPIs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Dashboard!$A$5:$A$8</c:f>
              <c:strCache>
                <c:ptCount val="4"/>
                <c:pt idx="0">
                  <c:v>On Track</c:v>
                </c:pt>
                <c:pt idx="1">
                  <c:v>In Progress</c:v>
                </c:pt>
                <c:pt idx="2">
                  <c:v>Off Track</c:v>
                </c:pt>
                <c:pt idx="3">
                  <c:v>Not Started</c:v>
                </c:pt>
              </c:strCache>
            </c:strRef>
          </c:cat>
          <c:val>
            <c:numRef>
              <c:f>Dashboard!$B$5:$B$8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28</c:v>
                </c:pt>
              </c:numCache>
            </c:numRef>
          </c:val>
        </c:ser>
        <c:gapWidth val="150"/>
        <c:overlap val="0"/>
        <c:axId val="99125170"/>
        <c:axId val="61314751"/>
      </c:barChart>
      <c:catAx>
        <c:axId val="991251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14751"/>
        <c:crosses val="autoZero"/>
        <c:auto val="1"/>
        <c:lblAlgn val="ctr"/>
        <c:lblOffset val="100"/>
        <c:noMultiLvlLbl val="0"/>
      </c:catAx>
      <c:valAx>
        <c:axId val="613147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KPIs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251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4</xdr:col>
      <xdr:colOff>528120</xdr:colOff>
      <xdr:row>27</xdr:row>
      <xdr:rowOff>21600</xdr:rowOff>
    </xdr:to>
    <xdr:graphicFrame>
      <xdr:nvGraphicFramePr>
        <xdr:cNvPr id="0" name="Chart 1"/>
        <xdr:cNvGraphicFramePr/>
      </xdr:nvGraphicFramePr>
      <xdr:xfrm>
        <a:off x="0" y="241920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90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.75" hidden="false" customHeight="true" outlineLevel="0" collapsed="false">
      <c r="B5" s="4" t="s">
        <v>2</v>
      </c>
    </row>
    <row r="6" customFormat="false" ht="36.75" hidden="false" customHeight="true" outlineLevel="0" collapsed="false">
      <c r="B6" s="5" t="s">
        <v>3</v>
      </c>
      <c r="C6" s="6" t="s">
        <v>4</v>
      </c>
    </row>
    <row r="7" customFormat="false" ht="24.75" hidden="false" customHeight="true" outlineLevel="0" collapsed="false">
      <c r="B7" s="5" t="s">
        <v>5</v>
      </c>
      <c r="C7" s="6" t="s">
        <v>6</v>
      </c>
    </row>
    <row r="9" customFormat="false" ht="15.75" hidden="false" customHeight="true" outlineLevel="0" collapsed="false">
      <c r="B9" s="4" t="s">
        <v>7</v>
      </c>
    </row>
    <row r="10" customFormat="false" ht="24.75" hidden="false" customHeight="true" outlineLevel="0" collapsed="false">
      <c r="B10" s="5" t="s">
        <v>8</v>
      </c>
      <c r="C10" s="6" t="s">
        <v>9</v>
      </c>
    </row>
    <row r="11" customFormat="false" ht="24.75" hidden="false" customHeight="true" outlineLevel="0" collapsed="false">
      <c r="B11" s="5" t="s">
        <v>10</v>
      </c>
      <c r="C11" s="6" t="s">
        <v>11</v>
      </c>
    </row>
    <row r="12" customFormat="false" ht="15" hidden="false" customHeight="true" outlineLevel="0" collapsed="false">
      <c r="B12" s="5" t="s">
        <v>12</v>
      </c>
      <c r="C12" s="6" t="s">
        <v>13</v>
      </c>
    </row>
    <row r="13" customFormat="false" ht="15" hidden="false" customHeight="true" outlineLevel="0" collapsed="false">
      <c r="B13" s="5" t="s">
        <v>14</v>
      </c>
      <c r="C13" s="6" t="s">
        <v>15</v>
      </c>
    </row>
    <row r="14" customFormat="false" ht="24.75" hidden="false" customHeight="true" outlineLevel="0" collapsed="false">
      <c r="B14" s="5" t="s">
        <v>16</v>
      </c>
      <c r="C14" s="6" t="s">
        <v>17</v>
      </c>
    </row>
    <row r="15" customFormat="false" ht="15" hidden="false" customHeight="true" outlineLevel="0" collapsed="false">
      <c r="B15" s="5" t="s">
        <v>18</v>
      </c>
      <c r="C15" s="6" t="s">
        <v>19</v>
      </c>
    </row>
    <row r="16" customFormat="false" ht="15" hidden="false" customHeight="true" outlineLevel="0" collapsed="false">
      <c r="B16" s="5" t="s">
        <v>20</v>
      </c>
      <c r="C16" s="6" t="s">
        <v>21</v>
      </c>
    </row>
    <row r="18" customFormat="false" ht="15.75" hidden="false" customHeight="true" outlineLevel="0" collapsed="false">
      <c r="B18" s="4" t="s">
        <v>22</v>
      </c>
    </row>
    <row r="19" customFormat="false" ht="15" hidden="false" customHeight="true" outlineLevel="0" collapsed="false">
      <c r="B19" s="5" t="s">
        <v>23</v>
      </c>
      <c r="C19" s="6" t="s">
        <v>24</v>
      </c>
    </row>
    <row r="20" customFormat="false" ht="15" hidden="false" customHeight="true" outlineLevel="0" collapsed="false">
      <c r="B20" s="5" t="s">
        <v>25</v>
      </c>
      <c r="C20" s="6" t="s">
        <v>26</v>
      </c>
    </row>
    <row r="22" customFormat="false" ht="24.75" hidden="false" customHeight="true" outlineLevel="0" collapsed="false">
      <c r="B22" s="5" t="s">
        <v>27</v>
      </c>
      <c r="C22" s="6" t="s">
        <v>28</v>
      </c>
    </row>
    <row r="24" customFormat="false" ht="15.75" hidden="false" customHeight="true" outlineLevel="0" collapsed="false">
      <c r="B24" s="4" t="s">
        <v>29</v>
      </c>
    </row>
    <row r="25" customFormat="false" ht="15" hidden="false" customHeight="true" outlineLevel="0" collapsed="false">
      <c r="B25" s="7"/>
      <c r="C25" s="8" t="s">
        <v>30</v>
      </c>
    </row>
    <row r="26" customFormat="false" ht="15" hidden="false" customHeight="true" outlineLevel="0" collapsed="false">
      <c r="B26" s="9"/>
      <c r="C26" s="8" t="s">
        <v>31</v>
      </c>
    </row>
    <row r="27" customFormat="false" ht="15" hidden="false" customHeight="true" outlineLevel="0" collapsed="false">
      <c r="B27" s="10"/>
      <c r="C27" s="8" t="s">
        <v>32</v>
      </c>
    </row>
    <row r="28" customFormat="false" ht="15" hidden="false" customHeight="true" outlineLevel="0" collapsed="false">
      <c r="B28" s="11"/>
      <c r="C28" s="8" t="s">
        <v>33</v>
      </c>
    </row>
    <row r="29" customFormat="false" ht="15" hidden="false" customHeight="true" outlineLevel="0" collapsed="false">
      <c r="B29" s="12"/>
      <c r="C29" s="8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46"/>
    <col collapsed="false" customWidth="true" hidden="false" outlineLevel="0" max="4" min="4" style="1" width="16"/>
    <col collapsed="false" customWidth="true" hidden="false" outlineLevel="0" max="6" min="5" style="1" width="11"/>
    <col collapsed="false" customWidth="true" hidden="false" outlineLevel="0" max="8" min="7" style="1" width="13"/>
    <col collapsed="false" customWidth="true" hidden="false" outlineLevel="0" max="9" min="9" style="1" width="18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32"/>
  </cols>
  <sheetData>
    <row r="1" customFormat="false" ht="24" hidden="false" customHeight="true" outlineLevel="0" collapsed="false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15.75" hidden="false" customHeight="true" outlineLevel="0" collapsed="false">
      <c r="A2" s="14" t="s">
        <v>36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customFormat="false" ht="25.5" hidden="false" customHeight="true" outlineLevel="0" collapsed="false">
      <c r="A4" s="15" t="s">
        <v>37</v>
      </c>
      <c r="B4" s="15" t="s">
        <v>38</v>
      </c>
      <c r="C4" s="15" t="s">
        <v>39</v>
      </c>
      <c r="D4" s="15" t="s">
        <v>8</v>
      </c>
      <c r="E4" s="15" t="s">
        <v>10</v>
      </c>
      <c r="F4" s="15" t="s">
        <v>12</v>
      </c>
      <c r="G4" s="15" t="s">
        <v>14</v>
      </c>
      <c r="H4" s="15" t="s">
        <v>16</v>
      </c>
      <c r="I4" s="15" t="s">
        <v>18</v>
      </c>
      <c r="J4" s="15" t="s">
        <v>20</v>
      </c>
      <c r="K4" s="15" t="s">
        <v>40</v>
      </c>
      <c r="L4" s="15" t="s">
        <v>41</v>
      </c>
    </row>
    <row r="5" customFormat="false" ht="23.25" hidden="false" customHeight="true" outlineLevel="0" collapsed="false">
      <c r="A5" s="16" t="s">
        <v>42</v>
      </c>
      <c r="B5" s="17" t="s">
        <v>43</v>
      </c>
      <c r="C5" s="18" t="s">
        <v>44</v>
      </c>
      <c r="D5" s="16" t="s">
        <v>45</v>
      </c>
      <c r="E5" s="19" t="n">
        <v>12</v>
      </c>
      <c r="F5" s="19" t="n">
        <v>60</v>
      </c>
      <c r="G5" s="19" t="n">
        <v>38</v>
      </c>
      <c r="H5" s="16" t="str">
        <f aca="false">IF(G5="","Not Started",IF(D5="Higher is Better",IF(G5&gt;=F5,"On Track",IF(G5&gt;E5,"In Progress","Off Track")),IF(G5&lt;=F5,"On Track",IF(G5&lt;E5,"In Progress","Off Track"))))</f>
        <v>In Progress</v>
      </c>
      <c r="I5" s="19" t="s">
        <v>46</v>
      </c>
      <c r="J5" s="16" t="s">
        <v>47</v>
      </c>
      <c r="K5" s="19" t="s">
        <v>48</v>
      </c>
      <c r="L5" s="20" t="s">
        <v>49</v>
      </c>
    </row>
    <row r="6" customFormat="false" ht="23.25" hidden="false" customHeight="true" outlineLevel="0" collapsed="false">
      <c r="A6" s="16" t="s">
        <v>42</v>
      </c>
      <c r="B6" s="17" t="s">
        <v>43</v>
      </c>
      <c r="C6" s="18" t="s">
        <v>50</v>
      </c>
      <c r="D6" s="16" t="s">
        <v>45</v>
      </c>
      <c r="E6" s="19"/>
      <c r="F6" s="19"/>
      <c r="G6" s="19"/>
      <c r="H6" s="16" t="str">
        <f aca="false">IF(G6="","Not Started",IF(D6="Higher is Better",IF(G6&gt;=F6,"On Track",IF(G6&gt;E6,"In Progress","Off Track")),IF(G6&lt;=F6,"On Track",IF(G6&lt;E6,"In Progress","Off Track"))))</f>
        <v>Not Started</v>
      </c>
      <c r="I6" s="19"/>
      <c r="J6" s="16"/>
      <c r="K6" s="19"/>
      <c r="L6" s="18"/>
    </row>
    <row r="7" customFormat="false" ht="23.25" hidden="false" customHeight="true" outlineLevel="0" collapsed="false">
      <c r="A7" s="16" t="s">
        <v>42</v>
      </c>
      <c r="B7" s="21" t="s">
        <v>51</v>
      </c>
      <c r="C7" s="18" t="s">
        <v>52</v>
      </c>
      <c r="D7" s="16" t="s">
        <v>45</v>
      </c>
      <c r="E7" s="19"/>
      <c r="F7" s="19"/>
      <c r="G7" s="19"/>
      <c r="H7" s="16" t="str">
        <f aca="false">IF(G7="","Not Started",IF(D7="Higher is Better",IF(G7&gt;=F7,"On Track",IF(G7&gt;E7,"In Progress","Off Track")),IF(G7&lt;=F7,"On Track",IF(G7&lt;E7,"In Progress","Off Track"))))</f>
        <v>Not Started</v>
      </c>
      <c r="I7" s="19"/>
      <c r="J7" s="16"/>
      <c r="K7" s="19"/>
      <c r="L7" s="18"/>
    </row>
    <row r="8" customFormat="false" ht="23.25" hidden="false" customHeight="true" outlineLevel="0" collapsed="false">
      <c r="A8" s="16" t="s">
        <v>42</v>
      </c>
      <c r="B8" s="21" t="s">
        <v>51</v>
      </c>
      <c r="C8" s="18" t="s">
        <v>53</v>
      </c>
      <c r="D8" s="16" t="s">
        <v>45</v>
      </c>
      <c r="E8" s="19"/>
      <c r="F8" s="19"/>
      <c r="G8" s="19"/>
      <c r="H8" s="16" t="str">
        <f aca="false">IF(G8="","Not Started",IF(D8="Higher is Better",IF(G8&gt;=F8,"On Track",IF(G8&gt;E8,"In Progress","Off Track")),IF(G8&lt;=F8,"On Track",IF(G8&lt;E8,"In Progress","Off Track"))))</f>
        <v>Not Started</v>
      </c>
      <c r="I8" s="19"/>
      <c r="J8" s="16"/>
      <c r="K8" s="19"/>
      <c r="L8" s="18"/>
    </row>
    <row r="9" customFormat="false" ht="23.25" hidden="false" customHeight="true" outlineLevel="0" collapsed="false">
      <c r="A9" s="16" t="s">
        <v>42</v>
      </c>
      <c r="B9" s="21" t="s">
        <v>51</v>
      </c>
      <c r="C9" s="18" t="s">
        <v>54</v>
      </c>
      <c r="D9" s="16" t="s">
        <v>45</v>
      </c>
      <c r="E9" s="19"/>
      <c r="F9" s="19"/>
      <c r="G9" s="19"/>
      <c r="H9" s="16" t="str">
        <f aca="false">IF(G9="","Not Started",IF(D9="Higher is Better",IF(G9&gt;=F9,"On Track",IF(G9&gt;E9,"In Progress","Off Track")),IF(G9&lt;=F9,"On Track",IF(G9&lt;E9,"In Progress","Off Track"))))</f>
        <v>Not Started</v>
      </c>
      <c r="I9" s="19"/>
      <c r="J9" s="16"/>
      <c r="K9" s="19"/>
      <c r="L9" s="18"/>
    </row>
    <row r="10" customFormat="false" ht="23.25" hidden="false" customHeight="true" outlineLevel="0" collapsed="false">
      <c r="A10" s="16" t="s">
        <v>55</v>
      </c>
      <c r="B10" s="17" t="s">
        <v>43</v>
      </c>
      <c r="C10" s="18" t="s">
        <v>56</v>
      </c>
      <c r="D10" s="16" t="s">
        <v>45</v>
      </c>
      <c r="E10" s="19"/>
      <c r="F10" s="19"/>
      <c r="G10" s="19"/>
      <c r="H10" s="16" t="str">
        <f aca="false">IF(G10="","Not Started",IF(D10="Higher is Better",IF(G10&gt;=F10,"On Track",IF(G10&gt;E10,"In Progress","Off Track")),IF(G10&lt;=F10,"On Track",IF(G10&lt;E10,"In Progress","Off Track"))))</f>
        <v>Not Started</v>
      </c>
      <c r="I10" s="19"/>
      <c r="J10" s="16"/>
      <c r="K10" s="19"/>
      <c r="L10" s="18"/>
    </row>
    <row r="11" customFormat="false" ht="23.25" hidden="false" customHeight="true" outlineLevel="0" collapsed="false">
      <c r="A11" s="16" t="s">
        <v>55</v>
      </c>
      <c r="B11" s="17" t="s">
        <v>43</v>
      </c>
      <c r="C11" s="18" t="s">
        <v>57</v>
      </c>
      <c r="D11" s="16" t="s">
        <v>58</v>
      </c>
      <c r="E11" s="19"/>
      <c r="F11" s="19"/>
      <c r="G11" s="19"/>
      <c r="H11" s="16" t="str">
        <f aca="false">IF(G11="","Not Started",IF(D11="Higher is Better",IF(G11&gt;=F11,"On Track",IF(G11&gt;E11,"In Progress","Off Track")),IF(G11&lt;=F11,"On Track",IF(G11&lt;E11,"In Progress","Off Track"))))</f>
        <v>Not Started</v>
      </c>
      <c r="I11" s="19"/>
      <c r="J11" s="16"/>
      <c r="K11" s="19"/>
      <c r="L11" s="18"/>
    </row>
    <row r="12" customFormat="false" ht="23.25" hidden="false" customHeight="true" outlineLevel="0" collapsed="false">
      <c r="A12" s="16" t="s">
        <v>55</v>
      </c>
      <c r="B12" s="21" t="s">
        <v>51</v>
      </c>
      <c r="C12" s="18" t="s">
        <v>59</v>
      </c>
      <c r="D12" s="16" t="s">
        <v>58</v>
      </c>
      <c r="E12" s="19"/>
      <c r="F12" s="19"/>
      <c r="G12" s="19"/>
      <c r="H12" s="16" t="str">
        <f aca="false">IF(G12="","Not Started",IF(D12="Higher is Better",IF(G12&gt;=F12,"On Track",IF(G12&gt;E12,"In Progress","Off Track")),IF(G12&lt;=F12,"On Track",IF(G12&lt;E12,"In Progress","Off Track"))))</f>
        <v>Not Started</v>
      </c>
      <c r="I12" s="19"/>
      <c r="J12" s="16"/>
      <c r="K12" s="19"/>
      <c r="L12" s="18"/>
    </row>
    <row r="13" customFormat="false" ht="15" hidden="false" customHeight="true" outlineLevel="0" collapsed="false">
      <c r="A13" s="16" t="s">
        <v>55</v>
      </c>
      <c r="B13" s="21" t="s">
        <v>51</v>
      </c>
      <c r="C13" s="18" t="s">
        <v>60</v>
      </c>
      <c r="D13" s="16" t="s">
        <v>45</v>
      </c>
      <c r="E13" s="19"/>
      <c r="F13" s="19"/>
      <c r="G13" s="19"/>
      <c r="H13" s="16" t="str">
        <f aca="false">IF(G13="","Not Started",IF(D13="Higher is Better",IF(G13&gt;=F13,"On Track",IF(G13&gt;E13,"In Progress","Off Track")),IF(G13&lt;=F13,"On Track",IF(G13&lt;E13,"In Progress","Off Track"))))</f>
        <v>Not Started</v>
      </c>
      <c r="I13" s="19"/>
      <c r="J13" s="16"/>
      <c r="K13" s="19"/>
      <c r="L13" s="18"/>
    </row>
    <row r="14" customFormat="false" ht="23.25" hidden="false" customHeight="true" outlineLevel="0" collapsed="false">
      <c r="A14" s="16" t="s">
        <v>55</v>
      </c>
      <c r="B14" s="21" t="s">
        <v>51</v>
      </c>
      <c r="C14" s="18" t="s">
        <v>61</v>
      </c>
      <c r="D14" s="16" t="s">
        <v>45</v>
      </c>
      <c r="E14" s="19"/>
      <c r="F14" s="19"/>
      <c r="G14" s="19"/>
      <c r="H14" s="16" t="str">
        <f aca="false">IF(G14="","Not Started",IF(D14="Higher is Better",IF(G14&gt;=F14,"On Track",IF(G14&gt;E14,"In Progress","Off Track")),IF(G14&lt;=F14,"On Track",IF(G14&lt;E14,"In Progress","Off Track"))))</f>
        <v>Not Started</v>
      </c>
      <c r="I14" s="19"/>
      <c r="J14" s="16"/>
      <c r="K14" s="19"/>
      <c r="L14" s="18"/>
    </row>
    <row r="15" customFormat="false" ht="15" hidden="false" customHeight="true" outlineLevel="0" collapsed="false">
      <c r="A15" s="16" t="s">
        <v>62</v>
      </c>
      <c r="B15" s="17" t="s">
        <v>43</v>
      </c>
      <c r="C15" s="18" t="s">
        <v>63</v>
      </c>
      <c r="D15" s="16" t="s">
        <v>45</v>
      </c>
      <c r="E15" s="19"/>
      <c r="F15" s="19"/>
      <c r="G15" s="19"/>
      <c r="H15" s="16" t="str">
        <f aca="false">IF(G15="","Not Started",IF(D15="Higher is Better",IF(G15&gt;=F15,"On Track",IF(G15&gt;E15,"In Progress","Off Track")),IF(G15&lt;=F15,"On Track",IF(G15&lt;E15,"In Progress","Off Track"))))</f>
        <v>Not Started</v>
      </c>
      <c r="I15" s="19"/>
      <c r="J15" s="16"/>
      <c r="K15" s="19"/>
      <c r="L15" s="18"/>
    </row>
    <row r="16" customFormat="false" ht="23.25" hidden="false" customHeight="true" outlineLevel="0" collapsed="false">
      <c r="A16" s="16" t="s">
        <v>62</v>
      </c>
      <c r="B16" s="17" t="s">
        <v>43</v>
      </c>
      <c r="C16" s="18" t="s">
        <v>64</v>
      </c>
      <c r="D16" s="16" t="s">
        <v>45</v>
      </c>
      <c r="E16" s="19"/>
      <c r="F16" s="19"/>
      <c r="G16" s="19"/>
      <c r="H16" s="16" t="str">
        <f aca="false">IF(G16="","Not Started",IF(D16="Higher is Better",IF(G16&gt;=F16,"On Track",IF(G16&gt;E16,"In Progress","Off Track")),IF(G16&lt;=F16,"On Track",IF(G16&lt;E16,"In Progress","Off Track"))))</f>
        <v>Not Started</v>
      </c>
      <c r="I16" s="19"/>
      <c r="J16" s="16"/>
      <c r="K16" s="19"/>
      <c r="L16" s="18"/>
    </row>
    <row r="17" customFormat="false" ht="23.25" hidden="false" customHeight="true" outlineLevel="0" collapsed="false">
      <c r="A17" s="16" t="s">
        <v>62</v>
      </c>
      <c r="B17" s="21" t="s">
        <v>51</v>
      </c>
      <c r="C17" s="18" t="s">
        <v>65</v>
      </c>
      <c r="D17" s="16" t="s">
        <v>45</v>
      </c>
      <c r="E17" s="19"/>
      <c r="F17" s="19"/>
      <c r="G17" s="19"/>
      <c r="H17" s="16" t="str">
        <f aca="false">IF(G17="","Not Started",IF(D17="Higher is Better",IF(G17&gt;=F17,"On Track",IF(G17&gt;E17,"In Progress","Off Track")),IF(G17&lt;=F17,"On Track",IF(G17&lt;E17,"In Progress","Off Track"))))</f>
        <v>Not Started</v>
      </c>
      <c r="I17" s="19"/>
      <c r="J17" s="16"/>
      <c r="K17" s="19"/>
      <c r="L17" s="18"/>
    </row>
    <row r="18" customFormat="false" ht="23.25" hidden="false" customHeight="true" outlineLevel="0" collapsed="false">
      <c r="A18" s="16" t="s">
        <v>62</v>
      </c>
      <c r="B18" s="21" t="s">
        <v>51</v>
      </c>
      <c r="C18" s="18" t="s">
        <v>66</v>
      </c>
      <c r="D18" s="16" t="s">
        <v>45</v>
      </c>
      <c r="E18" s="19"/>
      <c r="F18" s="19"/>
      <c r="G18" s="19"/>
      <c r="H18" s="16" t="str">
        <f aca="false">IF(G18="","Not Started",IF(D18="Higher is Better",IF(G18&gt;=F18,"On Track",IF(G18&gt;E18,"In Progress","Off Track")),IF(G18&lt;=F18,"On Track",IF(G18&lt;E18,"In Progress","Off Track"))))</f>
        <v>Not Started</v>
      </c>
      <c r="I18" s="19"/>
      <c r="J18" s="16"/>
      <c r="K18" s="19"/>
      <c r="L18" s="18"/>
    </row>
    <row r="19" customFormat="false" ht="23.25" hidden="false" customHeight="true" outlineLevel="0" collapsed="false">
      <c r="A19" s="16" t="s">
        <v>62</v>
      </c>
      <c r="B19" s="21" t="s">
        <v>51</v>
      </c>
      <c r="C19" s="18" t="s">
        <v>67</v>
      </c>
      <c r="D19" s="16" t="s">
        <v>45</v>
      </c>
      <c r="E19" s="19"/>
      <c r="F19" s="19"/>
      <c r="G19" s="19"/>
      <c r="H19" s="16" t="str">
        <f aca="false">IF(G19="","Not Started",IF(D19="Higher is Better",IF(G19&gt;=F19,"On Track",IF(G19&gt;E19,"In Progress","Off Track")),IF(G19&lt;=F19,"On Track",IF(G19&lt;E19,"In Progress","Off Track"))))</f>
        <v>Not Started</v>
      </c>
      <c r="I19" s="19"/>
      <c r="J19" s="16"/>
      <c r="K19" s="19"/>
      <c r="L19" s="18"/>
    </row>
    <row r="20" customFormat="false" ht="15" hidden="false" customHeight="true" outlineLevel="0" collapsed="false">
      <c r="A20" s="16" t="s">
        <v>68</v>
      </c>
      <c r="B20" s="17" t="s">
        <v>43</v>
      </c>
      <c r="C20" s="18" t="s">
        <v>69</v>
      </c>
      <c r="D20" s="16" t="s">
        <v>45</v>
      </c>
      <c r="E20" s="19"/>
      <c r="F20" s="19"/>
      <c r="G20" s="19"/>
      <c r="H20" s="16" t="str">
        <f aca="false">IF(G20="","Not Started",IF(D20="Higher is Better",IF(G20&gt;=F20,"On Track",IF(G20&gt;E20,"In Progress","Off Track")),IF(G20&lt;=F20,"On Track",IF(G20&lt;E20,"In Progress","Off Track"))))</f>
        <v>Not Started</v>
      </c>
      <c r="I20" s="19"/>
      <c r="J20" s="16"/>
      <c r="K20" s="19"/>
      <c r="L20" s="18"/>
    </row>
    <row r="21" customFormat="false" ht="15" hidden="false" customHeight="true" outlineLevel="0" collapsed="false">
      <c r="A21" s="16" t="s">
        <v>68</v>
      </c>
      <c r="B21" s="17" t="s">
        <v>43</v>
      </c>
      <c r="C21" s="18" t="s">
        <v>70</v>
      </c>
      <c r="D21" s="16" t="s">
        <v>45</v>
      </c>
      <c r="E21" s="19"/>
      <c r="F21" s="19"/>
      <c r="G21" s="19"/>
      <c r="H21" s="16" t="str">
        <f aca="false">IF(G21="","Not Started",IF(D21="Higher is Better",IF(G21&gt;=F21,"On Track",IF(G21&gt;E21,"In Progress","Off Track")),IF(G21&lt;=F21,"On Track",IF(G21&lt;E21,"In Progress","Off Track"))))</f>
        <v>Not Started</v>
      </c>
      <c r="I21" s="19"/>
      <c r="J21" s="16"/>
      <c r="K21" s="19"/>
      <c r="L21" s="18"/>
    </row>
    <row r="22" customFormat="false" ht="23.25" hidden="false" customHeight="true" outlineLevel="0" collapsed="false">
      <c r="A22" s="16" t="s">
        <v>68</v>
      </c>
      <c r="B22" s="21" t="s">
        <v>51</v>
      </c>
      <c r="C22" s="18" t="s">
        <v>71</v>
      </c>
      <c r="D22" s="16" t="s">
        <v>58</v>
      </c>
      <c r="E22" s="19"/>
      <c r="F22" s="19"/>
      <c r="G22" s="19"/>
      <c r="H22" s="16" t="str">
        <f aca="false">IF(G22="","Not Started",IF(D22="Higher is Better",IF(G22&gt;=F22,"On Track",IF(G22&gt;E22,"In Progress","Off Track")),IF(G22&lt;=F22,"On Track",IF(G22&lt;E22,"In Progress","Off Track"))))</f>
        <v>Not Started</v>
      </c>
      <c r="I22" s="19"/>
      <c r="J22" s="16"/>
      <c r="K22" s="19"/>
      <c r="L22" s="18"/>
    </row>
    <row r="23" customFormat="false" ht="15" hidden="false" customHeight="true" outlineLevel="0" collapsed="false">
      <c r="A23" s="16" t="s">
        <v>68</v>
      </c>
      <c r="B23" s="21" t="s">
        <v>51</v>
      </c>
      <c r="C23" s="18" t="s">
        <v>72</v>
      </c>
      <c r="D23" s="16" t="s">
        <v>45</v>
      </c>
      <c r="E23" s="19"/>
      <c r="F23" s="19"/>
      <c r="G23" s="19"/>
      <c r="H23" s="16" t="str">
        <f aca="false">IF(G23="","Not Started",IF(D23="Higher is Better",IF(G23&gt;=F23,"On Track",IF(G23&gt;E23,"In Progress","Off Track")),IF(G23&lt;=F23,"On Track",IF(G23&lt;E23,"In Progress","Off Track"))))</f>
        <v>Not Started</v>
      </c>
      <c r="I23" s="19"/>
      <c r="J23" s="16"/>
      <c r="K23" s="19"/>
      <c r="L23" s="18"/>
    </row>
    <row r="24" customFormat="false" ht="15" hidden="false" customHeight="true" outlineLevel="0" collapsed="false">
      <c r="A24" s="16" t="s">
        <v>68</v>
      </c>
      <c r="B24" s="21" t="s">
        <v>51</v>
      </c>
      <c r="C24" s="18" t="s">
        <v>73</v>
      </c>
      <c r="D24" s="16" t="s">
        <v>58</v>
      </c>
      <c r="E24" s="19"/>
      <c r="F24" s="19"/>
      <c r="G24" s="19"/>
      <c r="H24" s="16" t="str">
        <f aca="false">IF(G24="","Not Started",IF(D24="Higher is Better",IF(G24&gt;=F24,"On Track",IF(G24&gt;E24,"In Progress","Off Track")),IF(G24&lt;=F24,"On Track",IF(G24&lt;E24,"In Progress","Off Track"))))</f>
        <v>Not Started</v>
      </c>
      <c r="I24" s="19"/>
      <c r="J24" s="16"/>
      <c r="K24" s="19"/>
      <c r="L24" s="18"/>
    </row>
    <row r="25" customFormat="false" ht="23.25" hidden="false" customHeight="true" outlineLevel="0" collapsed="false">
      <c r="A25" s="16" t="s">
        <v>74</v>
      </c>
      <c r="B25" s="17" t="s">
        <v>43</v>
      </c>
      <c r="C25" s="18" t="s">
        <v>75</v>
      </c>
      <c r="D25" s="16" t="s">
        <v>45</v>
      </c>
      <c r="E25" s="19"/>
      <c r="F25" s="19"/>
      <c r="G25" s="19"/>
      <c r="H25" s="16" t="str">
        <f aca="false">IF(G25="","Not Started",IF(D25="Higher is Better",IF(G25&gt;=F25,"On Track",IF(G25&gt;E25,"In Progress","Off Track")),IF(G25&lt;=F25,"On Track",IF(G25&lt;E25,"In Progress","Off Track"))))</f>
        <v>Not Started</v>
      </c>
      <c r="I25" s="19"/>
      <c r="J25" s="16"/>
      <c r="K25" s="19"/>
      <c r="L25" s="18"/>
    </row>
    <row r="26" customFormat="false" ht="23.25" hidden="false" customHeight="true" outlineLevel="0" collapsed="false">
      <c r="A26" s="16" t="s">
        <v>74</v>
      </c>
      <c r="B26" s="17" t="s">
        <v>43</v>
      </c>
      <c r="C26" s="18" t="s">
        <v>76</v>
      </c>
      <c r="D26" s="16" t="s">
        <v>45</v>
      </c>
      <c r="E26" s="19"/>
      <c r="F26" s="19"/>
      <c r="G26" s="19"/>
      <c r="H26" s="16" t="str">
        <f aca="false">IF(G26="","Not Started",IF(D26="Higher is Better",IF(G26&gt;=F26,"On Track",IF(G26&gt;E26,"In Progress","Off Track")),IF(G26&lt;=F26,"On Track",IF(G26&lt;E26,"In Progress","Off Track"))))</f>
        <v>Not Started</v>
      </c>
      <c r="I26" s="19"/>
      <c r="J26" s="16"/>
      <c r="K26" s="19"/>
      <c r="L26" s="18"/>
    </row>
    <row r="27" customFormat="false" ht="23.25" hidden="false" customHeight="true" outlineLevel="0" collapsed="false">
      <c r="A27" s="16" t="s">
        <v>74</v>
      </c>
      <c r="B27" s="21" t="s">
        <v>51</v>
      </c>
      <c r="C27" s="18" t="s">
        <v>77</v>
      </c>
      <c r="D27" s="16" t="s">
        <v>58</v>
      </c>
      <c r="E27" s="19"/>
      <c r="F27" s="19"/>
      <c r="G27" s="19"/>
      <c r="H27" s="16" t="str">
        <f aca="false">IF(G27="","Not Started",IF(D27="Higher is Better",IF(G27&gt;=F27,"On Track",IF(G27&gt;E27,"In Progress","Off Track")),IF(G27&lt;=F27,"On Track",IF(G27&lt;E27,"In Progress","Off Track"))))</f>
        <v>Not Started</v>
      </c>
      <c r="I27" s="19"/>
      <c r="J27" s="16"/>
      <c r="K27" s="19"/>
      <c r="L27" s="18"/>
    </row>
    <row r="28" customFormat="false" ht="15" hidden="false" customHeight="true" outlineLevel="0" collapsed="false">
      <c r="A28" s="16" t="s">
        <v>74</v>
      </c>
      <c r="B28" s="21" t="s">
        <v>51</v>
      </c>
      <c r="C28" s="18" t="s">
        <v>78</v>
      </c>
      <c r="D28" s="16" t="s">
        <v>45</v>
      </c>
      <c r="E28" s="19"/>
      <c r="F28" s="19"/>
      <c r="G28" s="19"/>
      <c r="H28" s="16" t="str">
        <f aca="false">IF(G28="","Not Started",IF(D28="Higher is Better",IF(G28&gt;=F28,"On Track",IF(G28&gt;E28,"In Progress","Off Track")),IF(G28&lt;=F28,"On Track",IF(G28&lt;E28,"In Progress","Off Track"))))</f>
        <v>Not Started</v>
      </c>
      <c r="I28" s="19"/>
      <c r="J28" s="16"/>
      <c r="K28" s="19"/>
      <c r="L28" s="18"/>
    </row>
    <row r="29" customFormat="false" ht="23.25" hidden="false" customHeight="true" outlineLevel="0" collapsed="false">
      <c r="A29" s="16" t="s">
        <v>74</v>
      </c>
      <c r="B29" s="21" t="s">
        <v>51</v>
      </c>
      <c r="C29" s="18" t="s">
        <v>79</v>
      </c>
      <c r="D29" s="16" t="s">
        <v>58</v>
      </c>
      <c r="E29" s="19"/>
      <c r="F29" s="19"/>
      <c r="G29" s="19"/>
      <c r="H29" s="16" t="str">
        <f aca="false">IF(G29="","Not Started",IF(D29="Higher is Better",IF(G29&gt;=F29,"On Track",IF(G29&gt;E29,"In Progress","Off Track")),IF(G29&lt;=F29,"On Track",IF(G29&lt;E29,"In Progress","Off Track"))))</f>
        <v>Not Started</v>
      </c>
      <c r="I29" s="19"/>
      <c r="J29" s="16"/>
      <c r="K29" s="19"/>
      <c r="L29" s="18"/>
    </row>
    <row r="30" customFormat="false" ht="15" hidden="false" customHeight="true" outlineLevel="0" collapsed="false">
      <c r="A30" s="16" t="s">
        <v>80</v>
      </c>
      <c r="B30" s="22" t="s">
        <v>81</v>
      </c>
      <c r="C30" s="18" t="s">
        <v>82</v>
      </c>
      <c r="D30" s="16" t="s">
        <v>45</v>
      </c>
      <c r="E30" s="19"/>
      <c r="F30" s="19"/>
      <c r="G30" s="19"/>
      <c r="H30" s="16" t="str">
        <f aca="false">IF(G30="","Not Started",IF(D30="Higher is Better",IF(G30&gt;=F30,"On Track",IF(G30&gt;E30,"In Progress","Off Track")),IF(G30&lt;=F30,"On Track",IF(G30&lt;E30,"In Progress","Off Track"))))</f>
        <v>Not Started</v>
      </c>
      <c r="I30" s="19"/>
      <c r="J30" s="16"/>
      <c r="K30" s="19"/>
      <c r="L30" s="18"/>
    </row>
    <row r="31" customFormat="false" ht="23.25" hidden="false" customHeight="true" outlineLevel="0" collapsed="false">
      <c r="A31" s="16" t="s">
        <v>80</v>
      </c>
      <c r="B31" s="22" t="s">
        <v>81</v>
      </c>
      <c r="C31" s="18" t="s">
        <v>83</v>
      </c>
      <c r="D31" s="16" t="s">
        <v>45</v>
      </c>
      <c r="E31" s="19"/>
      <c r="F31" s="19"/>
      <c r="G31" s="19"/>
      <c r="H31" s="16" t="str">
        <f aca="false">IF(G31="","Not Started",IF(D31="Higher is Better",IF(G31&gt;=F31,"On Track",IF(G31&gt;E31,"In Progress","Off Track")),IF(G31&lt;=F31,"On Track",IF(G31&lt;E31,"In Progress","Off Track"))))</f>
        <v>Not Started</v>
      </c>
      <c r="I31" s="19"/>
      <c r="J31" s="16"/>
      <c r="K31" s="19"/>
      <c r="L31" s="18"/>
    </row>
    <row r="32" customFormat="false" ht="23.25" hidden="false" customHeight="true" outlineLevel="0" collapsed="false">
      <c r="A32" s="16" t="s">
        <v>80</v>
      </c>
      <c r="B32" s="22" t="s">
        <v>81</v>
      </c>
      <c r="C32" s="18" t="s">
        <v>84</v>
      </c>
      <c r="D32" s="16" t="s">
        <v>58</v>
      </c>
      <c r="E32" s="19"/>
      <c r="F32" s="19"/>
      <c r="G32" s="19"/>
      <c r="H32" s="16" t="str">
        <f aca="false">IF(G32="","Not Started",IF(D32="Higher is Better",IF(G32&gt;=F32,"On Track",IF(G32&gt;E32,"In Progress","Off Track")),IF(G32&lt;=F32,"On Track",IF(G32&lt;E32,"In Progress","Off Track"))))</f>
        <v>Not Started</v>
      </c>
      <c r="I32" s="19"/>
      <c r="J32" s="16"/>
      <c r="K32" s="19"/>
      <c r="L32" s="18"/>
    </row>
    <row r="33" customFormat="false" ht="15" hidden="false" customHeight="true" outlineLevel="0" collapsed="false">
      <c r="A33" s="16" t="s">
        <v>80</v>
      </c>
      <c r="B33" s="22" t="s">
        <v>81</v>
      </c>
      <c r="C33" s="18" t="s">
        <v>85</v>
      </c>
      <c r="D33" s="16" t="s">
        <v>45</v>
      </c>
      <c r="E33" s="19"/>
      <c r="F33" s="19"/>
      <c r="G33" s="19"/>
      <c r="H33" s="16" t="str">
        <f aca="false">IF(G33="","Not Started",IF(D33="Higher is Better",IF(G33&gt;=F33,"On Track",IF(G33&gt;E33,"In Progress","Off Track")),IF(G33&lt;=F33,"On Track",IF(G33&lt;E33,"In Progress","Off Track"))))</f>
        <v>Not Started</v>
      </c>
      <c r="I33" s="19"/>
      <c r="J33" s="16"/>
      <c r="K33" s="19"/>
      <c r="L33" s="18"/>
    </row>
  </sheetData>
  <mergeCells count="2">
    <mergeCell ref="A1:L1"/>
    <mergeCell ref="A2:L2"/>
  </mergeCells>
  <conditionalFormatting sqref="H5:H33">
    <cfRule type="cellIs" priority="2" operator="equal" aboveAverage="0" equalAverage="0" bottom="0" percent="0" rank="0" text="" dxfId="0">
      <formula>"On Track"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"Off Track"</formula>
    </cfRule>
    <cfRule type="cellIs" priority="5" operator="equal" aboveAverage="0" equalAverage="0" bottom="0" percent="0" rank="0" text="" dxfId="3">
      <formula>"Not Started"</formula>
    </cfRule>
  </conditionalFormatting>
  <dataValidations count="2">
    <dataValidation allowBlank="true" errorStyle="stop" operator="between" showDropDown="false" showErrorMessage="false" showInputMessage="false" sqref="J5:J33" type="list">
      <formula1>"Weekly,Biweekly,Monthly,Quarterly"</formula1>
      <formula2>0</formula2>
    </dataValidation>
    <dataValidation allowBlank="false" errorStyle="stop" operator="between" showDropDown="false" showErrorMessage="false" showInputMessage="false" sqref="D5:D33" type="list">
      <formula1>"Higher is Better,Lower is Better"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4"/>
  </cols>
  <sheetData>
    <row r="1" customFormat="false" ht="25.5" hidden="false" customHeight="true" outlineLevel="0" collapsed="false">
      <c r="A1" s="23" t="s">
        <v>86</v>
      </c>
      <c r="B1" s="23"/>
      <c r="C1" s="23"/>
      <c r="D1" s="23"/>
      <c r="E1" s="23"/>
      <c r="F1" s="23"/>
    </row>
    <row r="2" customFormat="false" ht="15" hidden="false" customHeight="true" outlineLevel="0" collapsed="false">
      <c r="A2" s="24" t="s">
        <v>87</v>
      </c>
      <c r="B2" s="24"/>
      <c r="C2" s="24"/>
      <c r="D2" s="24"/>
      <c r="E2" s="24"/>
      <c r="F2" s="24"/>
    </row>
    <row r="4" customFormat="false" ht="15" hidden="false" customHeight="true" outlineLevel="0" collapsed="false">
      <c r="A4" s="25" t="s">
        <v>16</v>
      </c>
      <c r="B4" s="25" t="s">
        <v>88</v>
      </c>
      <c r="D4" s="25" t="s">
        <v>37</v>
      </c>
      <c r="E4" s="25" t="s">
        <v>89</v>
      </c>
      <c r="F4" s="25" t="s">
        <v>90</v>
      </c>
    </row>
    <row r="5" customFormat="false" ht="15" hidden="false" customHeight="true" outlineLevel="0" collapsed="false">
      <c r="A5" s="8" t="s">
        <v>89</v>
      </c>
      <c r="B5" s="26" t="n">
        <f aca="false">COUNTIF('KPI Scorecard'!H5:H33,A5)</f>
        <v>0</v>
      </c>
      <c r="D5" s="8" t="s">
        <v>42</v>
      </c>
      <c r="E5" s="26" t="n">
        <f aca="false">COUNTIFS('KPI Scorecard'!A5:A33,D5,'KPI Scorecard'!H5:H33,"On Track")</f>
        <v>0</v>
      </c>
      <c r="F5" s="26" t="n">
        <f aca="false">COUNTIFS('KPI Scorecard'!A5:A33,D5,'KPI Scorecard'!H5:H33,"Off Track")</f>
        <v>0</v>
      </c>
    </row>
    <row r="6" customFormat="false" ht="15" hidden="false" customHeight="true" outlineLevel="0" collapsed="false">
      <c r="A6" s="8" t="s">
        <v>91</v>
      </c>
      <c r="B6" s="26" t="n">
        <f aca="false">COUNTIF('KPI Scorecard'!H5:H33,A6)</f>
        <v>1</v>
      </c>
      <c r="D6" s="8" t="s">
        <v>55</v>
      </c>
      <c r="E6" s="26" t="n">
        <f aca="false">COUNTIFS('KPI Scorecard'!A5:A33,D6,'KPI Scorecard'!H5:H33,"On Track")</f>
        <v>0</v>
      </c>
      <c r="F6" s="26" t="n">
        <f aca="false">COUNTIFS('KPI Scorecard'!A5:A33,D6,'KPI Scorecard'!H5:H33,"Off Track")</f>
        <v>0</v>
      </c>
    </row>
    <row r="7" customFormat="false" ht="15" hidden="false" customHeight="true" outlineLevel="0" collapsed="false">
      <c r="A7" s="8" t="s">
        <v>90</v>
      </c>
      <c r="B7" s="26" t="n">
        <f aca="false">COUNTIF('KPI Scorecard'!H5:H33,A7)</f>
        <v>0</v>
      </c>
      <c r="D7" s="8" t="s">
        <v>62</v>
      </c>
      <c r="E7" s="26" t="n">
        <f aca="false">COUNTIFS('KPI Scorecard'!A5:A33,D7,'KPI Scorecard'!H5:H33,"On Track")</f>
        <v>0</v>
      </c>
      <c r="F7" s="26" t="n">
        <f aca="false">COUNTIFS('KPI Scorecard'!A5:A33,D7,'KPI Scorecard'!H5:H33,"Off Track")</f>
        <v>0</v>
      </c>
    </row>
    <row r="8" customFormat="false" ht="15" hidden="false" customHeight="true" outlineLevel="0" collapsed="false">
      <c r="A8" s="8" t="s">
        <v>92</v>
      </c>
      <c r="B8" s="26" t="n">
        <f aca="false">COUNTIF('KPI Scorecard'!H5:H33,A8)</f>
        <v>28</v>
      </c>
      <c r="D8" s="8" t="s">
        <v>68</v>
      </c>
      <c r="E8" s="26" t="n">
        <f aca="false">COUNTIFS('KPI Scorecard'!A5:A33,D8,'KPI Scorecard'!H5:H33,"On Track")</f>
        <v>0</v>
      </c>
      <c r="F8" s="26" t="n">
        <f aca="false">COUNTIFS('KPI Scorecard'!A5:A33,D8,'KPI Scorecard'!H5:H33,"Off Track")</f>
        <v>0</v>
      </c>
    </row>
    <row r="9" customFormat="false" ht="15" hidden="false" customHeight="true" outlineLevel="0" collapsed="false">
      <c r="D9" s="8" t="s">
        <v>74</v>
      </c>
      <c r="E9" s="26" t="n">
        <f aca="false">COUNTIFS('KPI Scorecard'!A5:A33,D9,'KPI Scorecard'!H5:H33,"On Track")</f>
        <v>0</v>
      </c>
      <c r="F9" s="26" t="n">
        <f aca="false">COUNTIFS('KPI Scorecard'!A5:A33,D9,'KPI Scorecard'!H5:H33,"Off Track")</f>
        <v>0</v>
      </c>
    </row>
    <row r="10" customFormat="false" ht="15" hidden="false" customHeight="true" outlineLevel="0" collapsed="false">
      <c r="A10" s="5" t="s">
        <v>93</v>
      </c>
      <c r="B10" s="5" t="n">
        <f aca="false">SUM(B5:B8)</f>
        <v>29</v>
      </c>
      <c r="D10" s="8" t="s">
        <v>80</v>
      </c>
      <c r="E10" s="26" t="n">
        <f aca="false">COUNTIFS('KPI Scorecard'!A5:A33,D10,'KPI Scorecard'!H5:H33,"On Track")</f>
        <v>0</v>
      </c>
      <c r="F10" s="26" t="n">
        <f aca="false">COUNTIFS('KPI Scorecard'!A5:A33,D10,'KPI Scorecard'!H5:H33,"Off Track")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2026-08-11T14:57:14Z</dcterms:created>
  <dc:creator>openpyxl</dc:creator>
  <dc:description/>
  <dc:language>en-US</dc:language>
  <cp:lastModifiedBy/>
  <dcterms:modified xsi:type="dcterms:W3CDTF">2026-08-11T14:57:51Z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